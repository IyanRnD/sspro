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'Bug Tracker'!$A$1:$M$48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B6B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20" customWidth="1" min="4" max="4"/>
    <col width="7" customWidth="1" min="5" max="5"/>
    <col width="55" customWidth="1" min="6" max="6"/>
    <col width="45" customWidth="1" min="7" max="7"/>
    <col width="40" customWidth="1" min="8" max="8"/>
    <col width="12" customWidth="1" min="9" max="9"/>
    <col width="14" customWidth="1" min="10" max="10"/>
    <col width="12" customWidth="1" min="11" max="11"/>
    <col width="12" customWidth="1" min="12" max="12"/>
    <col width="25" customWidth="1" min="13" max="13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File</t>
        </is>
      </c>
      <c r="E1" s="1" t="inlineStr">
        <is>
          <t>Line</t>
        </is>
      </c>
      <c r="F1" s="1" t="inlineStr">
        <is>
          <t>Description</t>
        </is>
      </c>
      <c r="G1" s="1" t="inlineStr">
        <is>
          <t>Impact</t>
        </is>
      </c>
      <c r="H1" s="1" t="inlineStr">
        <is>
          <t>Recommendation</t>
        </is>
      </c>
      <c r="I1" s="1" t="inlineStr">
        <is>
          <t>Status</t>
        </is>
      </c>
      <c r="J1" s="1" t="inlineStr">
        <is>
          <t>Assignee</t>
        </is>
      </c>
      <c r="K1" s="1" t="inlineStr">
        <is>
          <t>Date Found</t>
        </is>
      </c>
      <c r="L1" s="1" t="inlineStr">
        <is>
          <t>Date Fixed</t>
        </is>
      </c>
      <c r="M1" s="1" t="inlineStr">
        <is>
          <t>Notes</t>
        </is>
      </c>
    </row>
    <row r="2">
      <c r="A2" s="2" t="inlineStr">
        <is>
          <t>BUG-001</t>
        </is>
      </c>
      <c r="B2" s="2" t="inlineStr">
        <is>
          <t>Security</t>
        </is>
      </c>
      <c r="C2" s="3" t="inlineStr">
        <is>
          <t>Critical</t>
        </is>
      </c>
      <c r="D2" s="2" t="inlineStr">
        <is>
          <t>Form1.cs</t>
        </is>
      </c>
      <c r="E2" s="2" t="n">
        <v>99</v>
      </c>
      <c r="F2" s="2" t="inlineStr">
        <is>
          <t>Production SQL Server credentials (server/user/password) hardcoded in source as the default connection string.</t>
        </is>
      </c>
      <c r="G2" s="2" t="inlineStr">
        <is>
          <t>Anyone with the source or the EXE can read DB credentials.</t>
        </is>
      </c>
      <c r="H2" s="2" t="inlineStr">
        <is>
          <t>Remove from source; require configuration on first run; rotate the password.</t>
        </is>
      </c>
      <c r="I2" s="2" t="inlineStr">
        <is>
          <t>Open</t>
        </is>
      </c>
      <c r="J2" s="2" t="inlineStr"/>
      <c r="K2" s="2" t="inlineStr">
        <is>
          <t>2026-10-26</t>
        </is>
      </c>
      <c r="L2" s="2" t="inlineStr"/>
      <c r="M2" s="2" t="inlineStr"/>
    </row>
    <row r="3">
      <c r="A3" s="2" t="inlineStr">
        <is>
          <t>BUG-002</t>
        </is>
      </c>
      <c r="B3" s="2" t="inlineStr">
        <is>
          <t>Security</t>
        </is>
      </c>
      <c r="C3" s="3" t="inlineStr">
        <is>
          <t>Critical</t>
        </is>
      </c>
      <c r="D3" s="2" t="inlineStr">
        <is>
          <t>clsDBTranscation.cs</t>
        </is>
      </c>
      <c r="E3" s="2" t="n">
        <v>41</v>
      </c>
      <c r="F3" s="2" t="inlineStr">
        <is>
          <t>Production server, user and password written in a code comment.</t>
        </is>
      </c>
      <c r="G3" s="2" t="inlineStr">
        <is>
          <t>Credentials leak via source control.</t>
        </is>
      </c>
      <c r="H3" s="2" t="inlineStr">
        <is>
          <t>Delete the comment; rotate the password.</t>
        </is>
      </c>
      <c r="I3" s="2" t="inlineStr">
        <is>
          <t>Open</t>
        </is>
      </c>
      <c r="J3" s="2" t="inlineStr"/>
      <c r="K3" s="2" t="inlineStr">
        <is>
          <t>2026-10-26</t>
        </is>
      </c>
      <c r="L3" s="2" t="inlineStr"/>
      <c r="M3" s="2" t="inlineStr"/>
    </row>
    <row r="4">
      <c r="A4" s="2" t="inlineStr">
        <is>
          <t>BUG-003</t>
        </is>
      </c>
      <c r="B4" s="2" t="inlineStr">
        <is>
          <t>Security</t>
        </is>
      </c>
      <c r="C4" s="3" t="inlineStr">
        <is>
          <t>Critical</t>
        </is>
      </c>
      <c r="D4" s="2" t="inlineStr">
        <is>
          <t>CardUpdater.cs</t>
        </is>
      </c>
      <c r="E4" s="2" t="n">
        <v>81</v>
      </c>
      <c r="F4" s="2" t="inlineStr">
        <is>
          <t>Site MySQL credentials (Uid/Pwd) hardcoded, identical for every site.</t>
        </is>
      </c>
      <c r="G4" s="2" t="inlineStr">
        <is>
          <t>All site MySQL DBs share one known password.</t>
        </is>
      </c>
      <c r="H4" s="2" t="inlineStr">
        <is>
          <t>Move to encrypted config per site.</t>
        </is>
      </c>
      <c r="I4" s="2" t="inlineStr">
        <is>
          <t>Open</t>
        </is>
      </c>
      <c r="J4" s="2" t="inlineStr"/>
      <c r="K4" s="2" t="inlineStr">
        <is>
          <t>2026-10-26</t>
        </is>
      </c>
      <c r="L4" s="2" t="inlineStr"/>
      <c r="M4" s="2" t="inlineStr"/>
    </row>
    <row r="5">
      <c r="A5" s="2" t="inlineStr">
        <is>
          <t>BUG-004</t>
        </is>
      </c>
      <c r="B5" s="2" t="inlineStr">
        <is>
          <t>Security</t>
        </is>
      </c>
      <c r="C5" s="4" t="inlineStr">
        <is>
          <t>High</t>
        </is>
      </c>
      <c r="D5" s="2" t="inlineStr">
        <is>
          <t>Encryptor.cs</t>
        </is>
      </c>
      <c r="E5" s="2" t="n">
        <v>12</v>
      </c>
      <c r="F5" s="2" t="inlineStr">
        <is>
          <t>AES key derived from constant password 'YourPassword' with fixed salt; IV constant.</t>
        </is>
      </c>
      <c r="G5" s="2" t="inlineStr">
        <is>
          <t>The 'encrypted' connection string in config.ini is trivially decryptable by anyone with the EXE.</t>
        </is>
      </c>
      <c r="H5" s="2" t="inlineStr">
        <is>
          <t>Use Windows DPAPI (ProtectedData, LocalMachine scope).</t>
        </is>
      </c>
      <c r="I5" s="2" t="inlineStr">
        <is>
          <t>Open</t>
        </is>
      </c>
      <c r="J5" s="2" t="inlineStr"/>
      <c r="K5" s="2" t="inlineStr">
        <is>
          <t>2026-10-26</t>
        </is>
      </c>
      <c r="L5" s="2" t="inlineStr"/>
      <c r="M5" s="2" t="inlineStr"/>
    </row>
    <row r="6">
      <c r="A6" s="2" t="inlineStr">
        <is>
          <t>BUG-005</t>
        </is>
      </c>
      <c r="B6" s="2" t="inlineStr">
        <is>
          <t>Security</t>
        </is>
      </c>
      <c r="C6" s="4" t="inlineStr">
        <is>
          <t>High</t>
        </is>
      </c>
      <c r="D6" s="2" t="inlineStr">
        <is>
          <t>CardUpdater.cs</t>
        </is>
      </c>
      <c r="E6" s="2" t="n">
        <v>297</v>
      </c>
      <c r="F6" s="2" t="inlineStr">
        <is>
          <t>mysql_save_twacard builds INSERT/ON DUPLICATE UPDATE by string concatenation of card values.</t>
        </is>
      </c>
      <c r="G6" s="2" t="inlineStr">
        <is>
          <t>A quote in CardHolder/VehicleNo breaks sync or enables SQL injection on the site DB.</t>
        </is>
      </c>
      <c r="H6" s="2" t="inlineStr">
        <is>
          <t>Use MySqlCommand parameters.</t>
        </is>
      </c>
      <c r="I6" s="2" t="inlineStr">
        <is>
          <t>Open</t>
        </is>
      </c>
      <c r="J6" s="2" t="inlineStr"/>
      <c r="K6" s="2" t="inlineStr">
        <is>
          <t>2026-10-26</t>
        </is>
      </c>
      <c r="L6" s="2" t="inlineStr"/>
      <c r="M6" s="2" t="inlineStr"/>
    </row>
    <row r="7">
      <c r="A7" s="2" t="inlineStr">
        <is>
          <t>BUG-006</t>
        </is>
      </c>
      <c r="B7" s="2" t="inlineStr">
        <is>
          <t>Security</t>
        </is>
      </c>
      <c r="C7" s="4" t="inlineStr">
        <is>
          <t>High</t>
        </is>
      </c>
      <c r="D7" s="2" t="inlineStr">
        <is>
          <t>clsDBTranscation.cs</t>
        </is>
      </c>
      <c r="E7" s="2" t="n">
        <v>86</v>
      </c>
      <c r="F7" s="2" t="inlineStr">
        <is>
          <t>UpdateDriverTag/UpdateVehicleTag daily query uses string.Format with a tag received from the network.</t>
        </is>
      </c>
      <c r="G7" s="2" t="inlineStr">
        <is>
          <t>SQL injection from any unauthenticated TCP client into the central SQL Server.</t>
        </is>
      </c>
      <c r="H7" s="2" t="inlineStr">
        <is>
          <t>Parameterize like the monthly/yearly queries.</t>
        </is>
      </c>
      <c r="I7" s="2" t="inlineStr">
        <is>
          <t>Open</t>
        </is>
      </c>
      <c r="J7" s="2" t="inlineStr"/>
      <c r="K7" s="2" t="inlineStr">
        <is>
          <t>2026-10-26</t>
        </is>
      </c>
      <c r="L7" s="2" t="inlineStr"/>
      <c r="M7" s="2" t="inlineStr"/>
    </row>
    <row r="8">
      <c r="A8" s="2" t="inlineStr">
        <is>
          <t>BUG-007</t>
        </is>
      </c>
      <c r="B8" s="2" t="inlineStr">
        <is>
          <t>Security</t>
        </is>
      </c>
      <c r="C8" s="4" t="inlineStr">
        <is>
          <t>High</t>
        </is>
      </c>
      <c r="D8" s="2" t="inlineStr">
        <is>
          <t>CardUpdater.cs</t>
        </is>
      </c>
      <c r="E8" s="2" t="n">
        <v>260</v>
      </c>
      <c r="F8" s="2" t="inlineStr">
        <is>
          <t>GetPendingCardsData concatenates SiteID into SQL.</t>
        </is>
      </c>
      <c r="G8" s="2" t="inlineStr">
        <is>
          <t>SQL injection if the Sites table holds a crafted value.</t>
        </is>
      </c>
      <c r="H8" s="2" t="inlineStr">
        <is>
          <t>Parameterize.</t>
        </is>
      </c>
      <c r="I8" s="2" t="inlineStr">
        <is>
          <t>Open</t>
        </is>
      </c>
      <c r="J8" s="2" t="inlineStr"/>
      <c r="K8" s="2" t="inlineStr">
        <is>
          <t>2026-10-26</t>
        </is>
      </c>
      <c r="L8" s="2" t="inlineStr"/>
      <c r="M8" s="2" t="inlineStr"/>
    </row>
    <row r="9">
      <c r="A9" s="2" t="inlineStr">
        <is>
          <t>BUG-008</t>
        </is>
      </c>
      <c r="B9" s="2" t="inlineStr">
        <is>
          <t>Security</t>
        </is>
      </c>
      <c r="C9" s="5" t="inlineStr">
        <is>
          <t>Medium</t>
        </is>
      </c>
      <c r="D9" s="2" t="inlineStr">
        <is>
          <t>Form1.cs</t>
        </is>
      </c>
      <c r="E9" s="2" t="n">
        <v>111</v>
      </c>
      <c r="F9" s="2" t="inlineStr">
        <is>
          <t>On DB connection failure the full decrypted connection string (with password) is logged to UI and Logs/*.txt.</t>
        </is>
      </c>
      <c r="G9" s="2" t="inlineStr">
        <is>
          <t>Password written in plain text to log files.</t>
        </is>
      </c>
      <c r="H9" s="2" t="inlineStr">
        <is>
          <t>Log only server/DB name.</t>
        </is>
      </c>
      <c r="I9" s="2" t="inlineStr">
        <is>
          <t>Open</t>
        </is>
      </c>
      <c r="J9" s="2" t="inlineStr"/>
      <c r="K9" s="2" t="inlineStr">
        <is>
          <t>2026-10-26</t>
        </is>
      </c>
      <c r="L9" s="2" t="inlineStr"/>
      <c r="M9" s="2" t="inlineStr"/>
    </row>
    <row r="10">
      <c r="A10" s="2" t="inlineStr">
        <is>
          <t>BUG-009</t>
        </is>
      </c>
      <c r="B10" s="2" t="inlineStr">
        <is>
          <t>Security</t>
        </is>
      </c>
      <c r="C10" s="5" t="inlineStr">
        <is>
          <t>Medium</t>
        </is>
      </c>
      <c r="D10" s="2" t="inlineStr">
        <is>
          <t>CServer.cs</t>
        </is>
      </c>
      <c r="E10" s="2" t="n">
        <v>147</v>
      </c>
      <c r="F10" s="2" t="inlineStr">
        <is>
          <t>TCP server accepts any client; no authentication and TranSignature is never verified.</t>
        </is>
      </c>
      <c r="G10" s="2" t="inlineStr">
        <is>
          <t>Anyone on the network can post fake fuel transactions.</t>
        </is>
      </c>
      <c r="H10" s="2" t="inlineStr">
        <is>
          <t>Verify TranSignature and/or whitelist site IPs from the Sites table.</t>
        </is>
      </c>
      <c r="I10" s="2" t="inlineStr">
        <is>
          <t>Open</t>
        </is>
      </c>
      <c r="J10" s="2" t="inlineStr"/>
      <c r="K10" s="2" t="inlineStr">
        <is>
          <t>2026-10-26</t>
        </is>
      </c>
      <c r="L10" s="2" t="inlineStr"/>
      <c r="M10" s="2" t="inlineStr"/>
    </row>
    <row r="11">
      <c r="A11" s="2" t="inlineStr">
        <is>
          <t>BUG-010</t>
        </is>
      </c>
      <c r="B11" s="2" t="inlineStr">
        <is>
          <t>Security</t>
        </is>
      </c>
      <c r="C11" s="6" t="inlineStr">
        <is>
          <t>Low</t>
        </is>
      </c>
      <c r="D11" s="2" t="inlineStr">
        <is>
          <t>MachineInfo.cs</t>
        </is>
      </c>
      <c r="E11" s="2" t="n">
        <v>12</v>
      </c>
      <c r="F11" s="2" t="inlineStr">
        <is>
          <t>License key is an MD5 of machine IDs with no secret; the generator ships in the same EXE.</t>
        </is>
      </c>
      <c r="G11" s="2" t="inlineStr">
        <is>
          <t>License is trivially bypassed / keygen'd.</t>
        </is>
      </c>
      <c r="H11" s="2" t="inlineStr">
        <is>
          <t>Use a signed license (RSA) with the private key off-box.</t>
        </is>
      </c>
      <c r="I11" s="2" t="inlineStr">
        <is>
          <t>Open</t>
        </is>
      </c>
      <c r="J11" s="2" t="inlineStr"/>
      <c r="K11" s="2" t="inlineStr">
        <is>
          <t>2026-10-26</t>
        </is>
      </c>
      <c r="L11" s="2" t="inlineStr"/>
      <c r="M11" s="2" t="inlineStr"/>
    </row>
    <row r="12">
      <c r="A12" s="2" t="inlineStr">
        <is>
          <t>BUG-011</t>
        </is>
      </c>
      <c r="B12" s="2" t="inlineStr">
        <is>
          <t>Logic</t>
        </is>
      </c>
      <c r="C12" s="4" t="inlineStr">
        <is>
          <t>High</t>
        </is>
      </c>
      <c r="D12" s="2" t="inlineStr">
        <is>
          <t>clsDBTranscation.cs</t>
        </is>
      </c>
      <c r="E12" s="2" t="n">
        <v>268</v>
      </c>
      <c r="F12" s="2" t="inlineStr">
        <is>
          <t>@TotalMonthMoney is given TotalMonthVolume (copy-paste) in UpdateDriverTag.</t>
        </is>
      </c>
      <c r="G12" s="2" t="inlineStr">
        <is>
          <t>Driver card monthly money total = litres; monthly money limits wrong.</t>
        </is>
      </c>
      <c r="H12" s="2" t="inlineStr">
        <is>
          <t>Pass TotalMonthMoney.</t>
        </is>
      </c>
      <c r="I12" s="2" t="inlineStr">
        <is>
          <t>Open</t>
        </is>
      </c>
      <c r="J12" s="2" t="inlineStr"/>
      <c r="K12" s="2" t="inlineStr">
        <is>
          <t>2026-10-26</t>
        </is>
      </c>
      <c r="L12" s="2" t="inlineStr"/>
      <c r="M12" s="2" t="inlineStr"/>
    </row>
    <row r="13">
      <c r="A13" s="2" t="inlineStr">
        <is>
          <t>BUG-012</t>
        </is>
      </c>
      <c r="B13" s="2" t="inlineStr">
        <is>
          <t>Logic</t>
        </is>
      </c>
      <c r="C13" s="4" t="inlineStr">
        <is>
          <t>High</t>
        </is>
      </c>
      <c r="D13" s="2" t="inlineStr">
        <is>
          <t>clsDBTranscation.cs</t>
        </is>
      </c>
      <c r="E13" s="2" t="n">
        <v>505</v>
      </c>
      <c r="F13" s="2" t="inlineStr">
        <is>
          <t>Same @TotalMonthMoney = TotalMonthVolume bug in UpdateVehicleTag.</t>
        </is>
      </c>
      <c r="G13" s="2" t="inlineStr">
        <is>
          <t>Vehicle card monthly money limit wrong.</t>
        </is>
      </c>
      <c r="H13" s="2" t="inlineStr">
        <is>
          <t>Pass TotalMonthMoney.</t>
        </is>
      </c>
      <c r="I13" s="2" t="inlineStr">
        <is>
          <t>Open</t>
        </is>
      </c>
      <c r="J13" s="2" t="inlineStr"/>
      <c r="K13" s="2" t="inlineStr">
        <is>
          <t>2026-10-26</t>
        </is>
      </c>
      <c r="L13" s="2" t="inlineStr"/>
      <c r="M13" s="2" t="inlineStr"/>
    </row>
    <row r="14">
      <c r="A14" s="2" t="inlineStr">
        <is>
          <t>BUG-013</t>
        </is>
      </c>
      <c r="B14" s="2" t="inlineStr">
        <is>
          <t>Logic</t>
        </is>
      </c>
      <c r="C14" s="4" t="inlineStr">
        <is>
          <t>High</t>
        </is>
      </c>
      <c r="D14" s="2" t="inlineStr">
        <is>
          <t>clsDBTranscation.cs</t>
        </is>
      </c>
      <c r="E14" s="2" t="n">
        <v>75</v>
      </c>
      <c r="F14" s="2" t="inlineStr">
        <is>
          <t>Card totals are computed for DateTime.Now, not the transaction's BusinessDate.</t>
        </is>
      </c>
      <c r="G14" s="2" t="inlineStr">
        <is>
          <t>Late/offline uploads are counted on the wrong day/month; totals after midnight reset.</t>
        </is>
      </c>
      <c r="H14" s="2" t="inlineStr">
        <is>
          <t>Use the transaction BusinessDate.</t>
        </is>
      </c>
      <c r="I14" s="2" t="inlineStr">
        <is>
          <t>Open</t>
        </is>
      </c>
      <c r="J14" s="2" t="inlineStr"/>
      <c r="K14" s="2" t="inlineStr">
        <is>
          <t>2026-10-26</t>
        </is>
      </c>
      <c r="L14" s="2" t="inlineStr"/>
      <c r="M14" s="2" t="inlineStr"/>
    </row>
    <row r="15">
      <c r="A15" s="2" t="inlineStr">
        <is>
          <t>BUG-014</t>
        </is>
      </c>
      <c r="B15" s="2" t="inlineStr">
        <is>
          <t>Logic</t>
        </is>
      </c>
      <c r="C15" s="4" t="inlineStr">
        <is>
          <t>High</t>
        </is>
      </c>
      <c r="D15" s="2" t="inlineStr">
        <is>
          <t>clsDBTranscation.cs</t>
        </is>
      </c>
      <c r="E15" s="2" t="n">
        <v>89</v>
      </c>
      <c r="F15" s="2" t="inlineStr">
        <is>
          <t>Daily query compares BusinessDate to DateTime.Date.ToString() (culture-dependent string with time part).</t>
        </is>
      </c>
      <c r="G15" s="2" t="inlineStr">
        <is>
          <t>On some server locales the date matches nothing -&gt; daily totals 0 -&gt; daily limits not enforced.</t>
        </is>
      </c>
      <c r="H15" s="2" t="inlineStr">
        <is>
          <t>Pass DateTime as a typed parameter.</t>
        </is>
      </c>
      <c r="I15" s="2" t="inlineStr">
        <is>
          <t>Open</t>
        </is>
      </c>
      <c r="J15" s="2" t="inlineStr"/>
      <c r="K15" s="2" t="inlineStr">
        <is>
          <t>2026-10-26</t>
        </is>
      </c>
      <c r="L15" s="2" t="inlineStr"/>
      <c r="M15" s="2" t="inlineStr"/>
    </row>
    <row r="16">
      <c r="A16" s="2" t="inlineStr">
        <is>
          <t>BUG-015</t>
        </is>
      </c>
      <c r="B16" s="2" t="inlineStr">
        <is>
          <t>Logic</t>
        </is>
      </c>
      <c r="C16" s="4" t="inlineStr">
        <is>
          <t>High</t>
        </is>
      </c>
      <c r="D16" s="2" t="inlineStr">
        <is>
          <t>Form1.cs</t>
        </is>
      </c>
      <c r="E16" s="2" t="n">
        <v>292</v>
      </c>
      <c r="F16" s="2" t="inlineStr">
        <is>
          <t>DateTime.Parse(TransCompleted) is culture-dependent.</t>
        </is>
      </c>
      <c r="G16" s="2" t="inlineStr">
        <is>
          <t>dd/MM vs MM/dd swap or FormatException -&gt; transaction not stored.</t>
        </is>
      </c>
      <c r="H16" s="2" t="inlineStr">
        <is>
          <t>ParseExact with the terminal's format and InvariantCulture.</t>
        </is>
      </c>
      <c r="I16" s="2" t="inlineStr">
        <is>
          <t>Open</t>
        </is>
      </c>
      <c r="J16" s="2" t="inlineStr"/>
      <c r="K16" s="2" t="inlineStr">
        <is>
          <t>2026-10-26</t>
        </is>
      </c>
      <c r="L16" s="2" t="inlineStr"/>
      <c r="M16" s="2" t="inlineStr"/>
    </row>
    <row r="17">
      <c r="A17" s="2" t="inlineStr">
        <is>
          <t>BUG-016</t>
        </is>
      </c>
      <c r="B17" s="2" t="inlineStr">
        <is>
          <t>Logic</t>
        </is>
      </c>
      <c r="C17" s="4" t="inlineStr">
        <is>
          <t>High</t>
        </is>
      </c>
      <c r="D17" s="2" t="inlineStr">
        <is>
          <t>Form1.cs</t>
        </is>
      </c>
      <c r="E17" s="2" t="n">
        <v>325</v>
      </c>
      <c r="F17" s="2" t="inlineStr">
        <is>
          <t>On DB/parse exception no response is sent to the terminal.</t>
        </is>
      </c>
      <c r="G17" s="2" t="inlineStr">
        <is>
          <t>Terminal times out; may resend or drop the transaction.</t>
        </is>
      </c>
      <c r="H17" s="2" t="inlineStr">
        <is>
          <t>Always reply with an error/NAK on failure.</t>
        </is>
      </c>
      <c r="I17" s="2" t="inlineStr">
        <is>
          <t>Open</t>
        </is>
      </c>
      <c r="J17" s="2" t="inlineStr"/>
      <c r="K17" s="2" t="inlineStr">
        <is>
          <t>2026-10-26</t>
        </is>
      </c>
      <c r="L17" s="2" t="inlineStr"/>
      <c r="M17" s="2" t="inlineStr"/>
    </row>
    <row r="18">
      <c r="A18" s="2" t="inlineStr">
        <is>
          <t>BUG-017</t>
        </is>
      </c>
      <c r="B18" s="2" t="inlineStr">
        <is>
          <t>Logic</t>
        </is>
      </c>
      <c r="C18" s="5" t="inlineStr">
        <is>
          <t>Medium</t>
        </is>
      </c>
      <c r="D18" s="2" t="inlineStr">
        <is>
          <t>Form1.cs</t>
        </is>
      </c>
      <c r="E18" s="2" t="n">
        <v>312</v>
      </c>
      <c r="F18" s="2" t="inlineStr">
        <is>
          <t>Driver/Vehicle tag updates run even when the tag is empty.</t>
        </is>
      </c>
      <c r="G18" s="2" t="inlineStr">
        <is>
          <t>Empty tag aggregates all untagged transactions; MERGE inserts sync rows for card ''.</t>
        </is>
      </c>
      <c r="H18" s="2" t="inlineStr">
        <is>
          <t>Skip when the tag is empty.</t>
        </is>
      </c>
      <c r="I18" s="2" t="inlineStr">
        <is>
          <t>Open</t>
        </is>
      </c>
      <c r="J18" s="2" t="inlineStr"/>
      <c r="K18" s="2" t="inlineStr">
        <is>
          <t>2026-10-26</t>
        </is>
      </c>
      <c r="L18" s="2" t="inlineStr"/>
      <c r="M18" s="2" t="inlineStr"/>
    </row>
    <row r="19">
      <c r="A19" s="2" t="inlineStr">
        <is>
          <t>BUG-018</t>
        </is>
      </c>
      <c r="B19" s="2" t="inlineStr">
        <is>
          <t>Logic</t>
        </is>
      </c>
      <c r="C19" s="5" t="inlineStr">
        <is>
          <t>Medium</t>
        </is>
      </c>
      <c r="D19" s="2" t="inlineStr">
        <is>
          <t>Form1.cs</t>
        </is>
      </c>
      <c r="E19" s="2" t="n">
        <v>316</v>
      </c>
      <c r="F19" s="2" t="inlineStr">
        <is>
          <t>ErrorMessage not reset between UpdateDriverTag and UpdateVehicleTag.</t>
        </is>
      </c>
      <c r="G19" s="2" t="inlineStr">
        <is>
          <t>Vehicle error shows stale driver error text.</t>
        </is>
      </c>
      <c r="H19" s="2" t="inlineStr">
        <is>
          <t>Reset ErrorMessage before each call.</t>
        </is>
      </c>
      <c r="I19" s="2" t="inlineStr">
        <is>
          <t>Open</t>
        </is>
      </c>
      <c r="J19" s="2" t="inlineStr"/>
      <c r="K19" s="2" t="inlineStr">
        <is>
          <t>2026-10-26</t>
        </is>
      </c>
      <c r="L19" s="2" t="inlineStr"/>
      <c r="M19" s="2" t="inlineStr"/>
    </row>
    <row r="20">
      <c r="A20" s="2" t="inlineStr">
        <is>
          <t>BUG-019</t>
        </is>
      </c>
      <c r="B20" s="2" t="inlineStr">
        <is>
          <t>Logic</t>
        </is>
      </c>
      <c r="C20" s="5" t="inlineStr">
        <is>
          <t>Medium</t>
        </is>
      </c>
      <c r="D20" s="2" t="inlineStr">
        <is>
          <t>clsDBTranscation.cs</t>
        </is>
      </c>
      <c r="E20" s="2" t="n">
        <v>542</v>
      </c>
      <c r="F20" s="2" t="inlineStr">
        <is>
          <t>ModifiedCardNumber resets SychRetryCount to 0 for every site on each card update.</t>
        </is>
      </c>
      <c r="G20" s="2" t="inlineStr">
        <is>
          <t>Persistent sync failures get hidden.</t>
        </is>
      </c>
      <c r="H20" s="2" t="inlineStr">
        <is>
          <t>Keep retry count or document intent.</t>
        </is>
      </c>
      <c r="I20" s="2" t="inlineStr">
        <is>
          <t>Open</t>
        </is>
      </c>
      <c r="J20" s="2" t="inlineStr"/>
      <c r="K20" s="2" t="inlineStr">
        <is>
          <t>2026-10-26</t>
        </is>
      </c>
      <c r="L20" s="2" t="inlineStr"/>
      <c r="M20" s="2" t="inlineStr"/>
    </row>
    <row r="21">
      <c r="A21" s="2" t="inlineStr">
        <is>
          <t>BUG-020</t>
        </is>
      </c>
      <c r="B21" s="2" t="inlineStr">
        <is>
          <t>Logic</t>
        </is>
      </c>
      <c r="C21" s="5" t="inlineStr">
        <is>
          <t>Medium</t>
        </is>
      </c>
      <c r="D21" s="2" t="inlineStr">
        <is>
          <t>CardUpdater.cs</t>
        </is>
      </c>
      <c r="E21" s="2" t="n">
        <v>260</v>
      </c>
      <c r="F21" s="2" t="inlineStr">
        <is>
          <t>Sync loop re-selects SychStatus -1 forever; no max retry.</t>
        </is>
      </c>
      <c r="G21" s="2" t="inlineStr">
        <is>
          <t>A bad card is retried every 10 s indefinitely; log spam.</t>
        </is>
      </c>
      <c r="H21" s="2" t="inlineStr">
        <is>
          <t>Stop after N retries.</t>
        </is>
      </c>
      <c r="I21" s="2" t="inlineStr">
        <is>
          <t>Open</t>
        </is>
      </c>
      <c r="J21" s="2" t="inlineStr"/>
      <c r="K21" s="2" t="inlineStr">
        <is>
          <t>2026-10-26</t>
        </is>
      </c>
      <c r="L21" s="2" t="inlineStr"/>
      <c r="M21" s="2" t="inlineStr"/>
    </row>
    <row r="22">
      <c r="A22" s="2" t="inlineStr">
        <is>
          <t>BUG-021</t>
        </is>
      </c>
      <c r="B22" s="2" t="inlineStr">
        <is>
          <t>Logic</t>
        </is>
      </c>
      <c r="C22" s="5" t="inlineStr">
        <is>
          <t>Medium</t>
        </is>
      </c>
      <c r="D22" s="2" t="inlineStr">
        <is>
          <t>CardUpdater.cs</t>
        </is>
      </c>
      <c r="E22" s="2" t="n">
        <v>284</v>
      </c>
      <c r="F22" s="2" t="inlineStr">
        <is>
          <t>mysql_save_twacard loops to MaxColum-1, silently dropping the last selected column (QuotaValue).</t>
        </is>
      </c>
      <c r="G22" s="2" t="inlineStr">
        <is>
          <t>QuotaValue is never synced to the site.</t>
        </is>
      </c>
      <c r="H22" s="2" t="inlineStr">
        <is>
          <t>Loop over all columns, or document intent.</t>
        </is>
      </c>
      <c r="I22" s="2" t="inlineStr">
        <is>
          <t>Open</t>
        </is>
      </c>
      <c r="J22" s="2" t="inlineStr"/>
      <c r="K22" s="2" t="inlineStr">
        <is>
          <t>2026-10-26</t>
        </is>
      </c>
      <c r="L22" s="2" t="inlineStr"/>
      <c r="M22" s="2" t="inlineStr"/>
    </row>
    <row r="23">
      <c r="A23" s="2" t="inlineStr">
        <is>
          <t>BUG-022</t>
        </is>
      </c>
      <c r="B23" s="2" t="inlineStr">
        <is>
          <t>Logic</t>
        </is>
      </c>
      <c r="C23" s="5" t="inlineStr">
        <is>
          <t>Medium</t>
        </is>
      </c>
      <c r="D23" s="2" t="inlineStr">
        <is>
          <t>CardUpdater.cs</t>
        </is>
      </c>
      <c r="E23" s="2" t="n">
        <v>142</v>
      </c>
      <c r="F23" s="2" t="inlineStr">
        <is>
          <t>After a MySQL failure stPooling=3 is set but the loop continues with remaining cards.</t>
        </is>
      </c>
      <c r="G23" s="2" t="inlineStr">
        <is>
          <t>Every remaining card fails and has its retry incremented.</t>
        </is>
      </c>
      <c r="H23" s="2" t="inlineStr">
        <is>
          <t>Break out of the loop on connection failure.</t>
        </is>
      </c>
      <c r="I23" s="2" t="inlineStr">
        <is>
          <t>Open</t>
        </is>
      </c>
      <c r="J23" s="2" t="inlineStr"/>
      <c r="K23" s="2" t="inlineStr">
        <is>
          <t>2026-10-26</t>
        </is>
      </c>
      <c r="L23" s="2" t="inlineStr"/>
      <c r="M23" s="2" t="inlineStr"/>
    </row>
    <row r="24">
      <c r="A24" s="2" t="inlineStr">
        <is>
          <t>BUG-023</t>
        </is>
      </c>
      <c r="B24" s="2" t="inlineStr">
        <is>
          <t>Logic</t>
        </is>
      </c>
      <c r="C24" s="5" t="inlineStr">
        <is>
          <t>Medium</t>
        </is>
      </c>
      <c r="D24" s="2" t="inlineStr">
        <is>
          <t>CardUpdater.cs</t>
        </is>
      </c>
      <c r="E24" s="2" t="n">
        <v>42</v>
      </c>
      <c r="F24" s="2" t="inlineStr">
        <is>
          <t>SiteName.Add(siteNumber) adds the SiteID instead of the SiteName.</t>
        </is>
      </c>
      <c r="G24" s="2" t="inlineStr">
        <is>
          <t>Site names list is wrong.</t>
        </is>
      </c>
      <c r="H24" s="2" t="inlineStr">
        <is>
          <t>Add siteName.</t>
        </is>
      </c>
      <c r="I24" s="2" t="inlineStr">
        <is>
          <t>Open</t>
        </is>
      </c>
      <c r="J24" s="2" t="inlineStr"/>
      <c r="K24" s="2" t="inlineStr">
        <is>
          <t>2026-10-26</t>
        </is>
      </c>
      <c r="L24" s="2" t="inlineStr"/>
      <c r="M24" s="2" t="inlineStr"/>
    </row>
    <row r="25">
      <c r="A25" s="2" t="inlineStr">
        <is>
          <t>BUG-024</t>
        </is>
      </c>
      <c r="B25" s="2" t="inlineStr">
        <is>
          <t>Logic</t>
        </is>
      </c>
      <c r="C25" s="5" t="inlineStr">
        <is>
          <t>Medium</t>
        </is>
      </c>
      <c r="D25" s="2" t="inlineStr">
        <is>
          <t>CardUpdater.cs</t>
        </is>
      </c>
      <c r="E25" s="2" t="n">
        <v>37</v>
      </c>
      <c r="F25" s="2" t="inlineStr">
        <is>
          <t>reader.GetString on SiteName/IPAddress throws on NULL.</t>
        </is>
      </c>
      <c r="G25" s="2" t="inlineStr">
        <is>
          <t>One NULL row aborts loading all sites -&gt; no card sync at all.</t>
        </is>
      </c>
      <c r="H25" s="2" t="inlineStr">
        <is>
          <t>Check IsDBNull.</t>
        </is>
      </c>
      <c r="I25" s="2" t="inlineStr">
        <is>
          <t>Open</t>
        </is>
      </c>
      <c r="J25" s="2" t="inlineStr"/>
      <c r="K25" s="2" t="inlineStr">
        <is>
          <t>2026-10-26</t>
        </is>
      </c>
      <c r="L25" s="2" t="inlineStr"/>
      <c r="M25" s="2" t="inlineStr"/>
    </row>
    <row r="26">
      <c r="A26" s="2" t="inlineStr">
        <is>
          <t>BUG-025</t>
        </is>
      </c>
      <c r="B26" s="2" t="inlineStr">
        <is>
          <t>Logic</t>
        </is>
      </c>
      <c r="C26" s="6" t="inlineStr">
        <is>
          <t>Low</t>
        </is>
      </c>
      <c r="D26" s="2" t="inlineStr">
        <is>
          <t>Parser.cs</t>
        </is>
      </c>
      <c r="E26" s="2" t="n">
        <v>71</v>
      </c>
      <c r="F26" s="2" t="inlineStr">
        <is>
          <t>Odometer/EngineHour parsed as int; decimal values become 0.</t>
        </is>
      </c>
      <c r="G26" s="2" t="inlineStr">
        <is>
          <t>Odometer lost if terminal sends '12345.6'.</t>
        </is>
      </c>
      <c r="H26" s="2" t="inlineStr">
        <is>
          <t>Parse as decimal.</t>
        </is>
      </c>
      <c r="I26" s="2" t="inlineStr">
        <is>
          <t>Open</t>
        </is>
      </c>
      <c r="J26" s="2" t="inlineStr"/>
      <c r="K26" s="2" t="inlineStr">
        <is>
          <t>2026-10-26</t>
        </is>
      </c>
      <c r="L26" s="2" t="inlineStr"/>
      <c r="M26" s="2" t="inlineStr"/>
    </row>
    <row r="27">
      <c r="A27" s="2" t="inlineStr">
        <is>
          <t>BUG-026</t>
        </is>
      </c>
      <c r="B27" s="2" t="inlineStr">
        <is>
          <t>Logic</t>
        </is>
      </c>
      <c r="C27" s="6" t="inlineStr">
        <is>
          <t>Low</t>
        </is>
      </c>
      <c r="D27" s="2" t="inlineStr">
        <is>
          <t>Parser.cs</t>
        </is>
      </c>
      <c r="E27" s="2" t="n">
        <v>81</v>
      </c>
      <c r="F27" s="2" t="inlineStr">
        <is>
          <t>Field count must be exactly 45; trailing CR/LF is kept in SynchToAX.</t>
        </is>
      </c>
      <c r="G27" s="2" t="inlineStr">
        <is>
          <t>Minor data noise; any extra delimiter rejects the whole message.</t>
        </is>
      </c>
      <c r="H27" s="2" t="inlineStr">
        <is>
          <t>Trim the message first.</t>
        </is>
      </c>
      <c r="I27" s="2" t="inlineStr">
        <is>
          <t>Open</t>
        </is>
      </c>
      <c r="J27" s="2" t="inlineStr"/>
      <c r="K27" s="2" t="inlineStr">
        <is>
          <t>2026-10-26</t>
        </is>
      </c>
      <c r="L27" s="2" t="inlineStr"/>
      <c r="M27" s="2" t="inlineStr"/>
    </row>
    <row r="28">
      <c r="A28" s="2" t="inlineStr">
        <is>
          <t>BUG-027</t>
        </is>
      </c>
      <c r="B28" s="2" t="inlineStr">
        <is>
          <t>Concurrency</t>
        </is>
      </c>
      <c r="C28" s="3" t="inlineStr">
        <is>
          <t>Critical</t>
        </is>
      </c>
      <c r="D28" s="2" t="inlineStr">
        <is>
          <t>CServer.cs</t>
        </is>
      </c>
      <c r="E28" s="2" t="n">
        <v>203</v>
      </c>
      <c r="F28" s="2" t="inlineStr">
        <is>
          <t>No message framing: one Read() is treated as one message; len=client.Available may be 0.</t>
        </is>
      </c>
      <c r="G28" s="2" t="inlineStr">
        <is>
          <t>Messages split/merged across TCP segments -&gt; valid transactions rejected as invalid, or two merged into one.</t>
        </is>
      </c>
      <c r="H28" s="2" t="inlineStr">
        <is>
          <t>Implement delimiter-based framing (e.g. CRLF) with an accumulation buffer.</t>
        </is>
      </c>
      <c r="I28" s="2" t="inlineStr">
        <is>
          <t>Open</t>
        </is>
      </c>
      <c r="J28" s="2" t="inlineStr"/>
      <c r="K28" s="2" t="inlineStr">
        <is>
          <t>2026-10-26</t>
        </is>
      </c>
      <c r="L28" s="2" t="inlineStr"/>
      <c r="M28" s="2" t="inlineStr"/>
    </row>
    <row r="29">
      <c r="A29" s="2" t="inlineStr">
        <is>
          <t>BUG-028</t>
        </is>
      </c>
      <c r="B29" s="2" t="inlineStr">
        <is>
          <t>Concurrency</t>
        </is>
      </c>
      <c r="C29" s="4" t="inlineStr">
        <is>
          <t>High</t>
        </is>
      </c>
      <c r="D29" s="2" t="inlineStr">
        <is>
          <t>CServer.cs</t>
        </is>
      </c>
      <c r="E29" s="2" t="n">
        <v>201</v>
      </c>
      <c r="F29" s="2" t="inlineStr">
        <is>
          <t>len = client.Available may exceed the 2048-byte buffer.</t>
        </is>
      </c>
      <c r="G29" s="2" t="inlineStr">
        <is>
          <t>ArgumentOutOfRangeException -&gt; client closed.</t>
        </is>
      </c>
      <c r="H29" s="2" t="inlineStr">
        <is>
          <t>Read Math.Min(Available, buffer.Length).</t>
        </is>
      </c>
      <c r="I29" s="2" t="inlineStr">
        <is>
          <t>Open</t>
        </is>
      </c>
      <c r="J29" s="2" t="inlineStr"/>
      <c r="K29" s="2" t="inlineStr">
        <is>
          <t>2026-10-26</t>
        </is>
      </c>
      <c r="L29" s="2" t="inlineStr"/>
      <c r="M29" s="2" t="inlineStr"/>
    </row>
    <row r="30">
      <c r="A30" s="2" t="inlineStr">
        <is>
          <t>BUG-029</t>
        </is>
      </c>
      <c r="B30" s="2" t="inlineStr">
        <is>
          <t>Concurrency</t>
        </is>
      </c>
      <c r="C30" s="4" t="inlineStr">
        <is>
          <t>High</t>
        </is>
      </c>
      <c r="D30" s="2" t="inlineStr">
        <is>
          <t>CServer.cs</t>
        </is>
      </c>
      <c r="E30" s="2" t="n">
        <v>45</v>
      </c>
      <c r="F30" s="2" t="inlineStr">
        <is>
          <t>listConnectedClients is a static List mutated by many threads without a lock and never cleaned on disconnect.</t>
        </is>
      </c>
      <c r="G30" s="2" t="inlineStr">
        <is>
          <t>Race exceptions; socket/memory leak grows until restart.</t>
        </is>
      </c>
      <c r="H30" s="2" t="inlineStr">
        <is>
          <t>Lock/ConcurrentDictionary and remove on disconnect.</t>
        </is>
      </c>
      <c r="I30" s="2" t="inlineStr">
        <is>
          <t>Open</t>
        </is>
      </c>
      <c r="J30" s="2" t="inlineStr"/>
      <c r="K30" s="2" t="inlineStr">
        <is>
          <t>2026-10-26</t>
        </is>
      </c>
      <c r="L30" s="2" t="inlineStr"/>
      <c r="M30" s="2" t="inlineStr"/>
    </row>
    <row r="31">
      <c r="A31" s="2" t="inlineStr">
        <is>
          <t>BUG-030</t>
        </is>
      </c>
      <c r="B31" s="2" t="inlineStr">
        <is>
          <t>Concurrency</t>
        </is>
      </c>
      <c r="C31" s="4" t="inlineStr">
        <is>
          <t>High</t>
        </is>
      </c>
      <c r="D31" s="2" t="inlineStr">
        <is>
          <t>CServer.cs</t>
        </is>
      </c>
      <c r="E31" s="2" t="n">
        <v>267</v>
      </c>
      <c r="F31" s="2" t="inlineStr">
        <is>
          <t>CloseClient removes from the list inside foreach.</t>
        </is>
      </c>
      <c r="G31" s="2" t="inlineStr">
        <is>
          <t>InvalidOperationException 'Collection was modified'.</t>
        </is>
      </c>
      <c r="H31" s="2" t="inlineStr">
        <is>
          <t>Iterate a copy.</t>
        </is>
      </c>
      <c r="I31" s="2" t="inlineStr">
        <is>
          <t>Open</t>
        </is>
      </c>
      <c r="J31" s="2" t="inlineStr"/>
      <c r="K31" s="2" t="inlineStr">
        <is>
          <t>2026-10-26</t>
        </is>
      </c>
      <c r="L31" s="2" t="inlineStr"/>
      <c r="M31" s="2" t="inlineStr"/>
    </row>
    <row r="32">
      <c r="A32" s="2" t="inlineStr">
        <is>
          <t>BUG-031</t>
        </is>
      </c>
      <c r="B32" s="2" t="inlineStr">
        <is>
          <t>Concurrency</t>
        </is>
      </c>
      <c r="C32" s="4" t="inlineStr">
        <is>
          <t>High</t>
        </is>
      </c>
      <c r="D32" s="2" t="inlineStr">
        <is>
          <t>Form1.cs</t>
        </is>
      </c>
      <c r="E32" s="2" t="n">
        <v>231</v>
      </c>
      <c r="F32" s="2" t="inlineStr">
        <is>
          <t>Shared field 'cmd' appended by all client threads and never cleared.</t>
        </is>
      </c>
      <c r="G32" s="2" t="inlineStr">
        <is>
          <t>Unbounded memory growth + data race.</t>
        </is>
      </c>
      <c r="H32" s="2" t="inlineStr">
        <is>
          <t>Remove the unused field.</t>
        </is>
      </c>
      <c r="I32" s="2" t="inlineStr">
        <is>
          <t>Open</t>
        </is>
      </c>
      <c r="J32" s="2" t="inlineStr"/>
      <c r="K32" s="2" t="inlineStr">
        <is>
          <t>2026-10-26</t>
        </is>
      </c>
      <c r="L32" s="2" t="inlineStr"/>
      <c r="M32" s="2" t="inlineStr"/>
    </row>
    <row r="33">
      <c r="A33" s="2" t="inlineStr">
        <is>
          <t>BUG-032</t>
        </is>
      </c>
      <c r="B33" s="2" t="inlineStr">
        <is>
          <t>Concurrency</t>
        </is>
      </c>
      <c r="C33" s="5" t="inlineStr">
        <is>
          <t>Medium</t>
        </is>
      </c>
      <c r="D33" s="2" t="inlineStr">
        <is>
          <t>Form1.cs</t>
        </is>
      </c>
      <c r="E33" s="2" t="n">
        <v>238</v>
      </c>
      <c r="F33" s="2" t="inlineStr">
        <is>
          <t>Parser receives the UI TextBox and calls AppendText from a worker thread.</t>
        </is>
      </c>
      <c r="G33" s="2" t="inlineStr">
        <is>
          <t>Cross-thread InvalidOperationException on parse error.</t>
        </is>
      </c>
      <c r="H33" s="2" t="inlineStr">
        <is>
          <t>Use the thread-safe LogAdd.</t>
        </is>
      </c>
      <c r="I33" s="2" t="inlineStr">
        <is>
          <t>Open</t>
        </is>
      </c>
      <c r="J33" s="2" t="inlineStr"/>
      <c r="K33" s="2" t="inlineStr">
        <is>
          <t>2026-10-26</t>
        </is>
      </c>
      <c r="L33" s="2" t="inlineStr"/>
      <c r="M33" s="2" t="inlineStr"/>
    </row>
    <row r="34">
      <c r="A34" s="2" t="inlineStr">
        <is>
          <t>BUG-033</t>
        </is>
      </c>
      <c r="B34" s="2" t="inlineStr">
        <is>
          <t>Concurrency</t>
        </is>
      </c>
      <c r="C34" s="5" t="inlineStr">
        <is>
          <t>Medium</t>
        </is>
      </c>
      <c r="D34" s="2" t="inlineStr">
        <is>
          <t>Form1.cs</t>
        </is>
      </c>
      <c r="E34" s="2" t="n">
        <v>219</v>
      </c>
      <c r="F34" s="2" t="inlineStr">
        <is>
          <t>EventLogger.Log runs on the UI thread for every line, opening/closing the file each time.</t>
        </is>
      </c>
      <c r="G34" s="2" t="inlineStr">
        <is>
          <t>UI freezes under load; IOException if the file is locked.</t>
        </is>
      </c>
      <c r="H34" s="2" t="inlineStr">
        <is>
          <t>Background queued logger.</t>
        </is>
      </c>
      <c r="I34" s="2" t="inlineStr">
        <is>
          <t>Open</t>
        </is>
      </c>
      <c r="J34" s="2" t="inlineStr"/>
      <c r="K34" s="2" t="inlineStr">
        <is>
          <t>2026-10-26</t>
        </is>
      </c>
      <c r="L34" s="2" t="inlineStr"/>
      <c r="M34" s="2" t="inlineStr"/>
    </row>
    <row r="35">
      <c r="A35" s="2" t="inlineStr">
        <is>
          <t>BUG-034</t>
        </is>
      </c>
      <c r="B35" s="2" t="inlineStr">
        <is>
          <t>Concurrency</t>
        </is>
      </c>
      <c r="C35" s="5" t="inlineStr">
        <is>
          <t>Medium</t>
        </is>
      </c>
      <c r="D35" s="2" t="inlineStr">
        <is>
          <t>Form1.cs</t>
        </is>
      </c>
      <c r="E35" s="2" t="n">
        <v>165</v>
      </c>
      <c r="F35" s="2" t="inlineStr">
        <is>
          <t>Form close sets IsRunning=false but AcceptTcpClient keeps blocking; listener/threads never stopped.</t>
        </is>
      </c>
      <c r="G35" s="2" t="inlineStr">
        <is>
          <t>Process may hang or keep the port bound.</t>
        </is>
      </c>
      <c r="H35" s="2" t="inlineStr">
        <is>
          <t>Call TcpListener.Stop(); use background threads.</t>
        </is>
      </c>
      <c r="I35" s="2" t="inlineStr">
        <is>
          <t>Open</t>
        </is>
      </c>
      <c r="J35" s="2" t="inlineStr"/>
      <c r="K35" s="2" t="inlineStr">
        <is>
          <t>2026-10-26</t>
        </is>
      </c>
      <c r="L35" s="2" t="inlineStr"/>
      <c r="M35" s="2" t="inlineStr"/>
    </row>
    <row r="36">
      <c r="A36" s="2" t="inlineStr">
        <is>
          <t>BUG-035</t>
        </is>
      </c>
      <c r="B36" s="2" t="inlineStr">
        <is>
          <t>Concurrency</t>
        </is>
      </c>
      <c r="C36" s="5" t="inlineStr">
        <is>
          <t>Medium</t>
        </is>
      </c>
      <c r="D36" s="2" t="inlineStr">
        <is>
          <t>CServer.cs</t>
        </is>
      </c>
      <c r="E36" s="2" t="n">
        <v>147</v>
      </c>
      <c r="F36" s="2" t="inlineStr">
        <is>
          <t>One foreground OS thread per client, no read timeout.</t>
        </is>
      </c>
      <c r="G36" s="2" t="inlineStr">
        <is>
          <t>Idle/half-open terminals exhaust threads.</t>
        </is>
      </c>
      <c r="H36" s="2" t="inlineStr">
        <is>
          <t>Async I/O or ReadTimeout.</t>
        </is>
      </c>
      <c r="I36" s="2" t="inlineStr">
        <is>
          <t>Open</t>
        </is>
      </c>
      <c r="J36" s="2" t="inlineStr"/>
      <c r="K36" s="2" t="inlineStr">
        <is>
          <t>2026-10-26</t>
        </is>
      </c>
      <c r="L36" s="2" t="inlineStr"/>
      <c r="M36" s="2" t="inlineStr"/>
    </row>
    <row r="37">
      <c r="A37" s="2" t="inlineStr">
        <is>
          <t>BUG-036</t>
        </is>
      </c>
      <c r="B37" s="2" t="inlineStr">
        <is>
          <t>Concurrency</t>
        </is>
      </c>
      <c r="C37" s="6" t="inlineStr">
        <is>
          <t>Low</t>
        </is>
      </c>
      <c r="D37" s="2" t="inlineStr">
        <is>
          <t>CardUpdater.cs</t>
        </is>
      </c>
      <c r="E37" s="2" t="n">
        <v>93</v>
      </c>
      <c r="F37" s="2" t="inlineStr">
        <is>
          <t>CardUpdater.IsRunning never set false; no Stop method.</t>
        </is>
      </c>
      <c r="G37" s="2" t="inlineStr">
        <is>
          <t>Updaters cannot be stopped cleanly.</t>
        </is>
      </c>
      <c r="H37" s="2" t="inlineStr">
        <is>
          <t>Add Stop().</t>
        </is>
      </c>
      <c r="I37" s="2" t="inlineStr">
        <is>
          <t>Open</t>
        </is>
      </c>
      <c r="J37" s="2" t="inlineStr"/>
      <c r="K37" s="2" t="inlineStr">
        <is>
          <t>2026-10-26</t>
        </is>
      </c>
      <c r="L37" s="2" t="inlineStr"/>
      <c r="M37" s="2" t="inlineStr"/>
    </row>
    <row r="38">
      <c r="A38" s="2" t="inlineStr">
        <is>
          <t>BUG-037</t>
        </is>
      </c>
      <c r="B38" s="2" t="inlineStr">
        <is>
          <t>Error handling</t>
        </is>
      </c>
      <c r="C38" s="4" t="inlineStr">
        <is>
          <t>High</t>
        </is>
      </c>
      <c r="D38" s="2" t="inlineStr">
        <is>
          <t>CardUpdater.cs</t>
        </is>
      </c>
      <c r="E38" s="2" t="n">
        <v>187</v>
      </c>
      <c r="F38" s="2" t="inlineStr">
        <is>
          <t>SQLquerry swallows all exceptions; caller then reads Tables[0] of an empty DataSet.</t>
        </is>
      </c>
      <c r="G38" s="2" t="inlineStr">
        <is>
          <t>IndexOutOfRange kills the polling thread -&gt; card sync for that site stops silently forever.</t>
        </is>
      </c>
      <c r="H38" s="2" t="inlineStr">
        <is>
          <t>Report the error and guard Tables.Count.</t>
        </is>
      </c>
      <c r="I38" s="2" t="inlineStr">
        <is>
          <t>Open</t>
        </is>
      </c>
      <c r="J38" s="2" t="inlineStr"/>
      <c r="K38" s="2" t="inlineStr">
        <is>
          <t>2026-10-26</t>
        </is>
      </c>
      <c r="L38" s="2" t="inlineStr"/>
      <c r="M38" s="2" t="inlineStr"/>
    </row>
    <row r="39">
      <c r="A39" s="2" t="inlineStr">
        <is>
          <t>BUG-038</t>
        </is>
      </c>
      <c r="B39" s="2" t="inlineStr">
        <is>
          <t>Error handling</t>
        </is>
      </c>
      <c r="C39" s="4" t="inlineStr">
        <is>
          <t>High</t>
        </is>
      </c>
      <c r="D39" s="2" t="inlineStr">
        <is>
          <t>CardUpdater.cs</t>
        </is>
      </c>
      <c r="E39" s="2" t="n">
        <v>94</v>
      </c>
      <c r="F39" s="2" t="inlineStr">
        <is>
          <t>FPooling loop has no try/catch.</t>
        </is>
      </c>
      <c r="G39" s="2" t="inlineStr">
        <is>
          <t>Any exception ends the background thread with no restart.</t>
        </is>
      </c>
      <c r="H39" s="2" t="inlineStr">
        <is>
          <t>Wrap the loop body in try/catch.</t>
        </is>
      </c>
      <c r="I39" s="2" t="inlineStr">
        <is>
          <t>Open</t>
        </is>
      </c>
      <c r="J39" s="2" t="inlineStr"/>
      <c r="K39" s="2" t="inlineStr">
        <is>
          <t>2026-10-26</t>
        </is>
      </c>
      <c r="L39" s="2" t="inlineStr"/>
      <c r="M39" s="2" t="inlineStr"/>
    </row>
    <row r="40">
      <c r="A40" s="2" t="inlineStr">
        <is>
          <t>BUG-039</t>
        </is>
      </c>
      <c r="B40" s="2" t="inlineStr">
        <is>
          <t>Error handling</t>
        </is>
      </c>
      <c r="C40" s="5" t="inlineStr">
        <is>
          <t>Medium</t>
        </is>
      </c>
      <c r="D40" s="2" t="inlineStr">
        <is>
          <t>Form1.cs</t>
        </is>
      </c>
      <c r="E40" s="2" t="n">
        <v>113</v>
      </c>
      <c r="F40" s="2" t="inlineStr">
        <is>
          <t>MessageBox.Show("") with empty text on DB failure; app continues anyway.</t>
        </is>
      </c>
      <c r="G40" s="2" t="inlineStr">
        <is>
          <t>Blank modal popup blocks startup of a tray app.</t>
        </is>
      </c>
      <c r="H40" s="2" t="inlineStr">
        <is>
          <t>Show a meaningful message or log only.</t>
        </is>
      </c>
      <c r="I40" s="2" t="inlineStr">
        <is>
          <t>Open</t>
        </is>
      </c>
      <c r="J40" s="2" t="inlineStr"/>
      <c r="K40" s="2" t="inlineStr">
        <is>
          <t>2026-10-26</t>
        </is>
      </c>
      <c r="L40" s="2" t="inlineStr"/>
      <c r="M40" s="2" t="inlineStr"/>
    </row>
    <row r="41">
      <c r="A41" s="2" t="inlineStr">
        <is>
          <t>BUG-040</t>
        </is>
      </c>
      <c r="B41" s="2" t="inlineStr">
        <is>
          <t>Error handling</t>
        </is>
      </c>
      <c r="C41" s="5" t="inlineStr">
        <is>
          <t>Medium</t>
        </is>
      </c>
      <c r="D41" s="2" t="inlineStr">
        <is>
          <t>Form1.cs</t>
        </is>
      </c>
      <c r="E41" s="2" t="n">
        <v>69</v>
      </c>
      <c r="F41" s="2" t="inlineStr">
        <is>
          <t>int.Parse on INI values without validation.</t>
        </is>
      </c>
      <c r="G41" s="2" t="inlineStr">
        <is>
          <t>Corrupt config.ini crashes the app at start.</t>
        </is>
      </c>
      <c r="H41" s="2" t="inlineStr">
        <is>
          <t>TryParse with defaults.</t>
        </is>
      </c>
      <c r="I41" s="2" t="inlineStr">
        <is>
          <t>Open</t>
        </is>
      </c>
      <c r="J41" s="2" t="inlineStr"/>
      <c r="K41" s="2" t="inlineStr">
        <is>
          <t>2026-10-26</t>
        </is>
      </c>
      <c r="L41" s="2" t="inlineStr"/>
      <c r="M41" s="2" t="inlineStr"/>
    </row>
    <row r="42">
      <c r="A42" s="2" t="inlineStr">
        <is>
          <t>BUG-041</t>
        </is>
      </c>
      <c r="B42" s="2" t="inlineStr">
        <is>
          <t>Error handling</t>
        </is>
      </c>
      <c r="C42" s="5" t="inlineStr">
        <is>
          <t>Medium</t>
        </is>
      </c>
      <c r="D42" s="2" t="inlineStr">
        <is>
          <t>Form1.cs</t>
        </is>
      </c>
      <c r="E42" s="2" t="n">
        <v>106</v>
      </c>
      <c r="F42" s="2" t="inlineStr">
        <is>
          <t>AESq.Decrypt on edited/invalid config value throws in Form1_Load.</t>
        </is>
      </c>
      <c r="G42" s="2" t="inlineStr">
        <is>
          <t>App crashes on start.</t>
        </is>
      </c>
      <c r="H42" s="2" t="inlineStr">
        <is>
          <t>try/catch and prompt to reconfigure.</t>
        </is>
      </c>
      <c r="I42" s="2" t="inlineStr">
        <is>
          <t>Open</t>
        </is>
      </c>
      <c r="J42" s="2" t="inlineStr"/>
      <c r="K42" s="2" t="inlineStr">
        <is>
          <t>2026-10-26</t>
        </is>
      </c>
      <c r="L42" s="2" t="inlineStr"/>
      <c r="M42" s="2" t="inlineStr"/>
    </row>
    <row r="43">
      <c r="A43" s="2" t="inlineStr">
        <is>
          <t>BUG-042</t>
        </is>
      </c>
      <c r="B43" s="2" t="inlineStr">
        <is>
          <t>Error handling</t>
        </is>
      </c>
      <c r="C43" s="5" t="inlineStr">
        <is>
          <t>Medium</t>
        </is>
      </c>
      <c r="D43" s="2" t="inlineStr">
        <is>
          <t>MachineInfo.cs</t>
        </is>
      </c>
      <c r="E43" s="2" t="n">
        <v>50</v>
      </c>
      <c r="F43" s="2" t="inlineStr">
        <is>
          <t>GetMotherboardId/GetHardDiskId: WMI Value may be null.</t>
        </is>
      </c>
      <c r="G43" s="2" t="inlineStr">
        <is>
          <t>NullReferenceException on VMs/some hardware -&gt; app fails to start.</t>
        </is>
      </c>
      <c r="H43" s="2" t="inlineStr">
        <is>
          <t>Null-check.</t>
        </is>
      </c>
      <c r="I43" s="2" t="inlineStr">
        <is>
          <t>Open</t>
        </is>
      </c>
      <c r="J43" s="2" t="inlineStr"/>
      <c r="K43" s="2" t="inlineStr">
        <is>
          <t>2026-10-26</t>
        </is>
      </c>
      <c r="L43" s="2" t="inlineStr"/>
      <c r="M43" s="2" t="inlineStr"/>
    </row>
    <row r="44">
      <c r="A44" s="2" t="inlineStr">
        <is>
          <t>BUG-043</t>
        </is>
      </c>
      <c r="B44" s="2" t="inlineStr">
        <is>
          <t>Resource</t>
        </is>
      </c>
      <c r="C44" s="5" t="inlineStr">
        <is>
          <t>Medium</t>
        </is>
      </c>
      <c r="D44" s="2" t="inlineStr">
        <is>
          <t>CardUpdater.cs</t>
        </is>
      </c>
      <c r="E44" s="2" t="n">
        <v>190</v>
      </c>
      <c r="F44" s="2" t="inlineStr">
        <is>
          <t>SqlConnection/MySqlConnection/SqlDataReader not disposed on exception paths.</t>
        </is>
      </c>
      <c r="G44" s="2" t="inlineStr">
        <is>
          <t>Connection-pool exhaustion over time.</t>
        </is>
      </c>
      <c r="H44" s="2" t="inlineStr">
        <is>
          <t>Use using blocks.</t>
        </is>
      </c>
      <c r="I44" s="2" t="inlineStr">
        <is>
          <t>Open</t>
        </is>
      </c>
      <c r="J44" s="2" t="inlineStr"/>
      <c r="K44" s="2" t="inlineStr">
        <is>
          <t>2026-10-26</t>
        </is>
      </c>
      <c r="L44" s="2" t="inlineStr"/>
      <c r="M44" s="2" t="inlineStr"/>
    </row>
    <row r="45">
      <c r="A45" s="2" t="inlineStr">
        <is>
          <t>BUG-044</t>
        </is>
      </c>
      <c r="B45" s="2" t="inlineStr">
        <is>
          <t>Resource</t>
        </is>
      </c>
      <c r="C45" s="6" t="inlineStr">
        <is>
          <t>Low</t>
        </is>
      </c>
      <c r="D45" s="2" t="inlineStr">
        <is>
          <t>Form1.cs</t>
        </is>
      </c>
      <c r="E45" s="2" t="n">
        <v>216</v>
      </c>
      <c r="F45" s="2" t="inlineStr">
        <is>
          <t>Log.Lines is recomputed on every append to check the 1000-line limit.</t>
        </is>
      </c>
      <c r="G45" s="2" t="inlineStr">
        <is>
          <t>CPU overhead under heavy traffic.</t>
        </is>
      </c>
      <c r="H45" s="2" t="inlineStr">
        <is>
          <t>Track a line counter.</t>
        </is>
      </c>
      <c r="I45" s="2" t="inlineStr">
        <is>
          <t>Open</t>
        </is>
      </c>
      <c r="J45" s="2" t="inlineStr"/>
      <c r="K45" s="2" t="inlineStr">
        <is>
          <t>2026-10-26</t>
        </is>
      </c>
      <c r="L45" s="2" t="inlineStr"/>
      <c r="M45" s="2" t="inlineStr"/>
    </row>
    <row r="46">
      <c r="A46" s="2" t="inlineStr">
        <is>
          <t>BUG-045</t>
        </is>
      </c>
      <c r="B46" s="2" t="inlineStr">
        <is>
          <t>Code quality</t>
        </is>
      </c>
      <c r="C46" s="6" t="inlineStr">
        <is>
          <t>Low</t>
        </is>
      </c>
      <c r="D46" s="2" t="inlineStr">
        <is>
          <t>CServer.cs</t>
        </is>
      </c>
      <c r="E46" s="2" t="n">
        <v>13</v>
      </c>
      <c r="F46" s="2" t="inlineStr">
        <is>
          <t>Unused usings (Memcached, ComTypes) and fields (tbLog, a,b,c,d, IsEcho, bwProcess).</t>
        </is>
      </c>
      <c r="G46" s="2" t="inlineStr">
        <is>
          <t>Maintenance noise.</t>
        </is>
      </c>
      <c r="H46" s="2" t="inlineStr">
        <is>
          <t>Clean up.</t>
        </is>
      </c>
      <c r="I46" s="2" t="inlineStr">
        <is>
          <t>Open</t>
        </is>
      </c>
      <c r="J46" s="2" t="inlineStr"/>
      <c r="K46" s="2" t="inlineStr">
        <is>
          <t>2026-10-26</t>
        </is>
      </c>
      <c r="L46" s="2" t="inlineStr"/>
      <c r="M46" s="2" t="inlineStr"/>
    </row>
    <row r="47">
      <c r="A47" s="2" t="inlineStr">
        <is>
          <t>BUG-046</t>
        </is>
      </c>
      <c r="B47" s="2" t="inlineStr">
        <is>
          <t>Code quality</t>
        </is>
      </c>
      <c r="C47" s="6" t="inlineStr">
        <is>
          <t>Low</t>
        </is>
      </c>
      <c r="D47" s="2" t="inlineStr">
        <is>
          <t>TCPServer.csproj</t>
        </is>
      </c>
      <c r="E47" s="2" t="n">
        <v>43</v>
      </c>
      <c r="F47" s="2" t="inlineStr">
        <is>
          <t>References to NetToolKit, SKCLNET, SymbolFactory that are not in the repo.</t>
        </is>
      </c>
      <c r="G47" s="2" t="inlineStr">
        <is>
          <t>Build fails on a clean machine.</t>
        </is>
      </c>
      <c r="H47" s="2" t="inlineStr">
        <is>
          <t>Remove unused references or vendor them.</t>
        </is>
      </c>
      <c r="I47" s="2" t="inlineStr">
        <is>
          <t>Open</t>
        </is>
      </c>
      <c r="J47" s="2" t="inlineStr"/>
      <c r="K47" s="2" t="inlineStr">
        <is>
          <t>2026-10-26</t>
        </is>
      </c>
      <c r="L47" s="2" t="inlineStr"/>
      <c r="M47" s="2" t="inlineStr"/>
    </row>
    <row r="48">
      <c r="A48" s="2" t="inlineStr">
        <is>
          <t>BUG-047</t>
        </is>
      </c>
      <c r="B48" s="2" t="inlineStr">
        <is>
          <t>Code quality</t>
        </is>
      </c>
      <c r="C48" s="6" t="inlineStr">
        <is>
          <t>Low</t>
        </is>
      </c>
      <c r="D48" s="2" t="inlineStr">
        <is>
          <t>clsDBTranscation.cs</t>
        </is>
      </c>
      <c r="E48" s="2" t="n">
        <v>57</v>
      </c>
      <c r="F48" s="2" t="inlineStr">
        <is>
          <t>UpdateDriverTag and UpdateVehicleTag are ~240 duplicated lines.</t>
        </is>
      </c>
      <c r="G48" s="2" t="inlineStr">
        <is>
          <t>Every fix (e.g. BUG-011) must be done twice.</t>
        </is>
      </c>
      <c r="H48" s="2" t="inlineStr">
        <is>
          <t>Refactor into one method taking the tag column.</t>
        </is>
      </c>
      <c r="I48" s="2" t="inlineStr">
        <is>
          <t>Open</t>
        </is>
      </c>
      <c r="J48" s="2" t="inlineStr"/>
      <c r="K48" s="2" t="inlineStr">
        <is>
          <t>2026-10-26</t>
        </is>
      </c>
      <c r="L48" s="2" t="inlineStr"/>
      <c r="M48" s="2" t="inlineStr"/>
    </row>
  </sheetData>
  <autoFilter ref="A1:M48"/>
  <dataValidations count="1">
    <dataValidation sqref="I2:I48" showDropDown="0" showInputMessage="0" showErrorMessage="0" allowBlank="0" type="list">
      <formula1>"Open,In Progress,Fixed,Won't Fix,Verified"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7" t="inlineStr">
        <is>
          <t>Severity</t>
        </is>
      </c>
      <c r="B1" s="7" t="inlineStr">
        <is>
          <t>Total</t>
        </is>
      </c>
      <c r="C1" s="7" t="inlineStr">
        <is>
          <t>Open</t>
        </is>
      </c>
      <c r="D1" s="7" t="inlineStr">
        <is>
          <t>Fixed</t>
        </is>
      </c>
    </row>
    <row r="2">
      <c r="A2" t="inlineStr">
        <is>
          <t>Critical</t>
        </is>
      </c>
      <c r="B2">
        <f>COUNTIF('Bug Tracker'!C2:C48,A2)</f>
        <v/>
      </c>
      <c r="C2">
        <f>COUNTIFS('Bug Tracker'!C2:C48,A2,'Bug Tracker'!I2:I48,"Open")</f>
        <v/>
      </c>
      <c r="D2">
        <f>COUNTIFS('Bug Tracker'!C2:C48,A2,'Bug Tracker'!I2:I48,"Fixed")</f>
        <v/>
      </c>
    </row>
    <row r="3">
      <c r="A3" t="inlineStr">
        <is>
          <t>High</t>
        </is>
      </c>
      <c r="B3">
        <f>COUNTIF('Bug Tracker'!C2:C48,A3)</f>
        <v/>
      </c>
      <c r="C3">
        <f>COUNTIFS('Bug Tracker'!C2:C48,A3,'Bug Tracker'!I2:I48,"Open")</f>
        <v/>
      </c>
      <c r="D3">
        <f>COUNTIFS('Bug Tracker'!C2:C48,A3,'Bug Tracker'!I2:I48,"Fixed")</f>
        <v/>
      </c>
    </row>
    <row r="4">
      <c r="A4" t="inlineStr">
        <is>
          <t>Medium</t>
        </is>
      </c>
      <c r="B4">
        <f>COUNTIF('Bug Tracker'!C2:C48,A4)</f>
        <v/>
      </c>
      <c r="C4">
        <f>COUNTIFS('Bug Tracker'!C2:C48,A4,'Bug Tracker'!I2:I48,"Open")</f>
        <v/>
      </c>
      <c r="D4">
        <f>COUNTIFS('Bug Tracker'!C2:C48,A4,'Bug Tracker'!I2:I48,"Fixed")</f>
        <v/>
      </c>
    </row>
    <row r="5">
      <c r="A5" t="inlineStr">
        <is>
          <t>Low</t>
        </is>
      </c>
      <c r="B5">
        <f>COUNTIF('Bug Tracker'!C2:C48,A5)</f>
        <v/>
      </c>
      <c r="C5">
        <f>COUNTIFS('Bug Tracker'!C2:C48,A5,'Bug Tracker'!I2:I48,"Open")</f>
        <v/>
      </c>
      <c r="D5">
        <f>COUNTIFS('Bug Tracker'!C2:C48,A5,'Bug Tracker'!I2:I48,"Fixed")</f>
        <v/>
      </c>
    </row>
    <row r="6">
      <c r="A6" t="inlineStr">
        <is>
          <t>Total</t>
        </is>
      </c>
      <c r="B6">
        <f>SUM(B2:B5)</f>
        <v/>
      </c>
      <c r="C6">
        <f>SUM(C2:C5)</f>
        <v/>
      </c>
      <c r="D6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2026-10-26T02:44:15Z</dcterms:created>
  <dcterms:modified xmlns:dcterms="http://purl.org/dc/terms/" xmlns:xsi="http://www.w3.org/2001/XMLSchema-instance" xsi:type="dcterms:W3CDTF">2026-10-26T02:44:15Z</dcterms:modified>
</cp:coreProperties>
</file>